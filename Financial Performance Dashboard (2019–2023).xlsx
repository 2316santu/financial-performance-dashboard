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330107bd62758/Desktop/"/>
    </mc:Choice>
  </mc:AlternateContent>
  <xr:revisionPtr revIDLastSave="792" documentId="8_{482C5D77-7BDC-486F-BD3A-965186E5EC68}" xr6:coauthVersionLast="47" xr6:coauthVersionMax="47" xr10:uidLastSave="{3CA66095-9F42-44D7-961E-F3BF1A0B5482}"/>
  <bookViews>
    <workbookView minimized="1" xWindow="4008" yWindow="3360" windowWidth="17280" windowHeight="8880" xr2:uid="{28A8CD18-8D58-4731-BBA9-A3769D5EAEDF}"/>
  </bookViews>
  <sheets>
    <sheet name="Sheet1" sheetId="1" r:id="rId1"/>
    <sheet name="Financial Performance Dashboar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D2" i="2"/>
  <c r="D3" i="2"/>
  <c r="D4" i="2"/>
  <c r="D5" i="2"/>
  <c r="D6" i="2"/>
  <c r="D7" i="2"/>
  <c r="C2" i="2"/>
  <c r="C3" i="2"/>
  <c r="C4" i="2"/>
  <c r="C5" i="2"/>
  <c r="C6" i="2"/>
  <c r="C7" i="2"/>
  <c r="E12" i="1"/>
  <c r="E13" i="1"/>
  <c r="E14" i="1"/>
  <c r="E15" i="1"/>
  <c r="E11" i="1"/>
  <c r="D13" i="1"/>
  <c r="D15" i="1"/>
  <c r="D12" i="1"/>
  <c r="D14" i="1"/>
  <c r="D11" i="1"/>
  <c r="C15" i="1"/>
  <c r="C14" i="1"/>
  <c r="C13" i="1"/>
  <c r="C12" i="1"/>
  <c r="C11" i="1"/>
  <c r="B11" i="1" a="1"/>
  <c r="B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<sst xmlns="http://schemas.openxmlformats.org/spreadsheetml/2006/main" count="31" uniqueCount="23">
  <si>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Year</t>
  </si>
  <si>
    <t>Revenue</t>
  </si>
  <si>
    <t>Cost</t>
  </si>
  <si>
    <t>Operating Expenses</t>
  </si>
  <si>
    <t>Net Profit</t>
  </si>
  <si>
    <t>Income Statement</t>
  </si>
  <si>
    <t>Total Assets</t>
  </si>
  <si>
    <t>Total Liabilities</t>
  </si>
  <si>
    <t>Equity</t>
  </si>
  <si>
    <t>Balance Sheet</t>
  </si>
  <si>
    <t>Current Assets</t>
  </si>
  <si>
    <t>Current Liabilities</t>
  </si>
  <si>
    <t>Additional Data(for Ratios)</t>
  </si>
  <si>
    <t>Profit Margin</t>
  </si>
  <si>
    <t>profit margin</t>
  </si>
  <si>
    <t>Revenue Growth</t>
  </si>
  <si>
    <t>Current Ratio</t>
  </si>
  <si>
    <t>DEBT-TO-EQUITY RATIO</t>
  </si>
  <si>
    <t>Total Revenue</t>
  </si>
  <si>
    <t>Growth</t>
  </si>
  <si>
    <t>Revenue increased steadily from 5L to 11L (strong growth)
Profit margin improved to 27% in 2023
Growth rate peaked at 25% in 2021
Company shows stable financial performance</t>
  </si>
  <si>
    <r>
      <t xml:space="preserve">              </t>
    </r>
    <r>
      <rPr>
        <b/>
        <sz val="16"/>
        <color theme="1"/>
        <rFont val="Times New Roman"/>
        <family val="1"/>
      </rPr>
      <t xml:space="preserve">               Insights</t>
    </r>
  </si>
  <si>
    <t>Financial Performance Dashboard (2019–2023)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</si>
</sst>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166" fontId="8" fillId="0" borderId="0" xfId="1" applyNumberFormat="1" applyFont="1"/>
    <xf numFmtId="0" fontId="10" fillId="0" borderId="1" xfId="0" applyFont="1" applyBorder="1"/>
    <xf numFmtId="166" fontId="10" fillId="0" borderId="1" xfId="1" applyNumberFormat="1" applyFont="1" applyBorder="1" applyAlignment="1">
      <alignment horizontal="center"/>
    </xf>
    <xf numFmtId="166" fontId="10" fillId="0" borderId="1" xfId="1" applyNumberFormat="1" applyFont="1" applyBorder="1"/>
    <xf numFmtId="2" fontId="10" fillId="0" borderId="1" xfId="0" applyNumberFormat="1" applyFont="1" applyBorder="1"/>
    <xf numFmtId="9" fontId="10" fillId="0" borderId="1" xfId="0" applyNumberFormat="1" applyFont="1" applyBorder="1"/>
    <xf numFmtId="165" fontId="8" fillId="0" borderId="0" xfId="0" applyNumberFormat="1" applyFont="1"/>
    <xf numFmtId="3" fontId="8" fillId="0" borderId="0" xfId="0" applyNumberFormat="1" applyFont="1"/>
    <xf numFmtId="2" fontId="7" fillId="0" borderId="0" xfId="0" applyNumberFormat="1" applyFont="1"/>
    <xf numFmtId="164" fontId="10" fillId="0" borderId="1" xfId="0" applyNumberFormat="1" applyFont="1" applyBorder="1"/>
    <xf numFmtId="2" fontId="8" fillId="0" borderId="0" xfId="0" applyNumberFormat="1" applyFont="1"/>
    <xf numFmtId="9" fontId="8" fillId="0" borderId="0" xfId="0" applyNumberFormat="1" applyFont="1"/>
    <xf numFmtId="0" fontId="9" fillId="0" borderId="1" xfId="0" applyFont="1" applyBorder="1"/>
    <xf numFmtId="10" fontId="8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Performance Dashboard'!$B$2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'Financial Performance Dashboard'!$A$3:$A$7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Performance Dashboard'!$B$3:$B$7</c:f>
              <c:numCache>
                <c:formatCode>_ * #,##0_ ;_ * \-#,##0_ ;_ * "-"??_ ;_ @_ </c:formatCode>
                <c:ptCount val="5"/>
                <c:pt idx="0">
                  <c:v>500000</c:v>
                </c:pt>
                <c:pt idx="1">
                  <c:v>600000</c:v>
                </c:pt>
                <c:pt idx="2">
                  <c:v>750000</c:v>
                </c:pt>
                <c:pt idx="3">
                  <c:v>900000</c:v>
                </c:pt>
                <c:pt idx="4">
                  <c:v>1100000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08-49AD-BE18-E57053D73E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5170431"/>
        <c:axId val="1061662031"/>
      </c:lineChart>
      <c:catAx>
        <c:axId val="60517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62031"/>
        <c:crosses val="autoZero"/>
        <c:auto val="1"/>
        <c:lblAlgn val="ctr"/>
        <c:lblOffset val="100"/>
        <c:noMultiLvlLbl val="0"/>
      </c:catAx>
      <c:valAx>
        <c:axId val="1061662031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17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Performance Dashboard'!$C$2</c:f>
              <c:strCache>
                <c:ptCount val="1"/>
                <c:pt idx="0">
                  <c:v>Net Profit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'Financial Performance Dashboard'!$A$3:$A$7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Performance Dashboard'!$C$3:$C$7</c:f>
              <c:numCache>
                <c:formatCode>_ * #,##0_ ;_ * \-#,##0_ ;_ * "-"??_ ;_ @_ </c:formatCode>
                <c:ptCount val="5"/>
                <c:pt idx="0">
                  <c:v>100000</c:v>
                </c:pt>
                <c:pt idx="1">
                  <c:v>130000</c:v>
                </c:pt>
                <c:pt idx="2">
                  <c:v>200000</c:v>
                </c:pt>
                <c:pt idx="3">
                  <c:v>220000</c:v>
                </c:pt>
                <c:pt idx="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B-4468-B7EC-2788635D4B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92974703"/>
        <c:axId val="292976623"/>
      </c:barChart>
      <c:catAx>
        <c:axId val="29297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76623"/>
        <c:crosses val="autoZero"/>
        <c:auto val="1"/>
        <c:lblAlgn val="ctr"/>
        <c:lblOffset val="100"/>
        <c:noMultiLvlLbl val="0"/>
      </c:catAx>
      <c:valAx>
        <c:axId val="292976623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9297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Operating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29-4A41-8EE1-A670063216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29-4A41-8EE1-A670063216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29-4A41-8EE1-A670063216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29-4A41-8EE1-A670063216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29-4A41-8EE1-A670063216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Sheet1!$C$3:$C$7</c:f>
              <c:numCache>
                <c:formatCode>General</c:formatCode>
                <c:ptCount val="5"/>
                <c:pt idx="0">
                  <c:v>300000</c:v>
                </c:pt>
                <c:pt idx="1">
                  <c:v>350000</c:v>
                </c:pt>
                <c:pt idx="2">
                  <c:v>400000</c:v>
                </c:pt>
                <c:pt idx="3">
                  <c:v>500000</c:v>
                </c:pt>
                <c:pt idx="4">
                  <c:v>600000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100000</c:v>
                </c:pt>
                <c:pt idx="1">
                  <c:v>120000</c:v>
                </c:pt>
                <c:pt idx="2">
                  <c:v>150000</c:v>
                </c:pt>
                <c:pt idx="3">
                  <c:v>180000</c:v>
                </c:pt>
                <c:pt idx="4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29-4A41-8EE1-A670063216A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15240</xdr:rowOff>
    </xdr:from>
    <xdr:to>
      <xdr:col>5</xdr:col>
      <xdr:colOff>182880</xdr:colOff>
      <xdr:row>23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D0461-7B09-4C35-2CC5-FFBC57E03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8</xdr:row>
      <xdr:rowOff>0</xdr:rowOff>
    </xdr:from>
    <xdr:to>
      <xdr:col>11</xdr:col>
      <xdr:colOff>1926167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15479B-A954-7182-3C43-A6D008EE6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2613660</xdr:colOff>
      <xdr:row>8</xdr:row>
      <xdr:rowOff>3386</xdr:rowOff>
    </xdr:from>
    <xdr:to>
      <xdr:col>18</xdr:col>
      <xdr:colOff>613409</xdr:colOff>
      <xdr:row>24</xdr:row>
      <xdr:rowOff>10583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E99B40-A3F6-4EE8-9B3F-091B36858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fc330107bd62758/Desktop/financial-forecast-dashboard.xlsx" TargetMode="External"/><Relationship Id="rId1" Type="http://schemas.openxmlformats.org/officeDocument/2006/relationships/externalLinkPath" Target="financial-forecast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Model"/>
      <sheetName val="Forecast Dashboard"/>
    </sheetNames>
    <sheetDataSet>
      <sheetData sheetId="0">
        <row r="2">
          <cell r="A2">
            <v>2019</v>
          </cell>
          <cell r="B2">
            <v>500000</v>
          </cell>
          <cell r="C2">
            <v>400000</v>
          </cell>
          <cell r="D2">
            <v>100000</v>
          </cell>
        </row>
        <row r="3">
          <cell r="A3">
            <v>2020</v>
          </cell>
          <cell r="B3">
            <v>600000</v>
          </cell>
          <cell r="C3">
            <v>470000</v>
          </cell>
          <cell r="D3">
            <v>130000</v>
          </cell>
        </row>
        <row r="4">
          <cell r="A4">
            <v>2021</v>
          </cell>
          <cell r="B4">
            <v>750000</v>
          </cell>
          <cell r="C4">
            <v>550000</v>
          </cell>
          <cell r="D4">
            <v>200000</v>
          </cell>
        </row>
        <row r="5">
          <cell r="A5">
            <v>2022</v>
          </cell>
          <cell r="B5">
            <v>900000</v>
          </cell>
          <cell r="C5">
            <v>680000</v>
          </cell>
          <cell r="D5">
            <v>220000</v>
          </cell>
        </row>
        <row r="6">
          <cell r="A6">
            <v>2023</v>
          </cell>
          <cell r="B6">
            <v>1100000</v>
          </cell>
          <cell r="C6">
            <v>800000</v>
          </cell>
          <cell r="D6">
            <v>300000</v>
          </cell>
        </row>
        <row r="9">
          <cell r="A9">
            <v>2024</v>
          </cell>
          <cell r="B9">
            <v>1265000</v>
          </cell>
          <cell r="C9">
            <v>800000.1</v>
          </cell>
          <cell r="D9">
            <v>464999.9</v>
          </cell>
        </row>
        <row r="10">
          <cell r="A10">
            <v>2025</v>
          </cell>
          <cell r="B10">
            <v>1518000</v>
          </cell>
          <cell r="C10">
            <v>920000.11499999987</v>
          </cell>
          <cell r="D10">
            <v>597999.88500000013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3717-05D7-4158-9C87-72FCF80AF43A}">
  <sheetPr codeName="Sheet1"/>
  <dimension ref="A1:N15"/>
  <sheetViews>
    <sheetView tabSelected="1" topLeftCell="C1" workbookViewId="0">
      <selection activeCell="E22" sqref="E22"/>
    </sheetView>
  </sheetViews>
  <sheetFormatPr defaultRowHeight="14.4" x14ac:dyDescent="0.3"/>
  <cols>
    <col min="2" max="2" width="14.77734375" bestFit="1" customWidth="1"/>
    <col min="3" max="3" width="18.6640625" bestFit="1" customWidth="1"/>
    <col min="4" max="4" width="17.5546875" bestFit="1" customWidth="1"/>
    <col min="5" max="5" width="25.77734375" bestFit="1" customWidth="1"/>
    <col min="8" max="8" width="9.6640625" customWidth="1"/>
    <col min="9" max="10" width="10.44140625" customWidth="1"/>
    <col min="13" max="13" width="12.77734375" bestFit="1" customWidth="1"/>
    <col min="14" max="14" width="15.109375" bestFit="1" customWidth="1"/>
  </cols>
  <sheetData>
    <row r="1" spans="1:14" s="3" customFormat="1" ht="21" x14ac:dyDescent="0.4">
      <c r="A1" s="34" t="s">
        <v>5</v>
      </c>
      <c r="B1" s="34"/>
      <c r="C1" s="34"/>
      <c r="D1" s="34"/>
      <c r="E1" s="34"/>
      <c r="F1" s="4"/>
      <c r="G1" s="34" t="s">
        <v>9</v>
      </c>
      <c r="H1" s="34"/>
      <c r="I1" s="34"/>
      <c r="J1" s="34"/>
      <c r="L1" s="34" t="s">
        <v>12</v>
      </c>
      <c r="M1" s="34"/>
      <c r="N1" s="34"/>
    </row>
    <row r="2" spans="1:14" ht="28.8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G2" s="23" t="s">
        <v>0</v>
      </c>
      <c r="H2" s="23" t="s">
        <v>6</v>
      </c>
      <c r="I2" s="23" t="s">
        <v>7</v>
      </c>
      <c r="J2" s="23" t="s">
        <v>8</v>
      </c>
      <c r="L2" s="28" t="s">
        <v>0</v>
      </c>
      <c r="M2" s="28" t="s">
        <v>10</v>
      </c>
      <c r="N2" s="28" t="s">
        <v>11</v>
      </c>
    </row>
    <row r="3" spans="1:14" x14ac:dyDescent="0.3">
      <c r="A3" s="27">
        <v>2019</v>
      </c>
      <c r="B3" s="27">
        <v>500000</v>
      </c>
      <c r="C3" s="27">
        <v>300000</v>
      </c>
      <c r="D3" s="27">
        <v>100000</v>
      </c>
      <c r="E3" s="27">
        <v>100000</v>
      </c>
      <c r="G3" s="24">
        <v>2019</v>
      </c>
      <c r="H3" s="24">
        <v>800000</v>
      </c>
      <c r="I3" s="24">
        <v>400000</v>
      </c>
      <c r="J3" s="24">
        <v>400000</v>
      </c>
      <c r="L3" s="29">
        <v>2019</v>
      </c>
      <c r="M3" s="29">
        <v>300000</v>
      </c>
      <c r="N3" s="29">
        <v>150000</v>
      </c>
    </row>
    <row r="4" spans="1:14" x14ac:dyDescent="0.3">
      <c r="A4" s="27">
        <v>2020</v>
      </c>
      <c r="B4" s="27">
        <v>600000</v>
      </c>
      <c r="C4" s="27">
        <v>350000</v>
      </c>
      <c r="D4" s="27">
        <v>120000</v>
      </c>
      <c r="E4" s="27">
        <v>130000</v>
      </c>
      <c r="G4" s="24">
        <v>2020</v>
      </c>
      <c r="H4" s="24">
        <v>900000</v>
      </c>
      <c r="I4" s="24">
        <v>450000</v>
      </c>
      <c r="J4" s="24">
        <v>450000</v>
      </c>
      <c r="L4" s="29">
        <v>2020</v>
      </c>
      <c r="M4" s="29">
        <v>350000</v>
      </c>
      <c r="N4" s="29">
        <v>180000</v>
      </c>
    </row>
    <row r="5" spans="1:14" x14ac:dyDescent="0.3">
      <c r="A5" s="27">
        <v>2021</v>
      </c>
      <c r="B5" s="27">
        <v>750000</v>
      </c>
      <c r="C5" s="27">
        <v>400000</v>
      </c>
      <c r="D5" s="27">
        <v>150000</v>
      </c>
      <c r="E5" s="27">
        <v>200000</v>
      </c>
      <c r="G5" s="24">
        <v>2021</v>
      </c>
      <c r="H5" s="24">
        <v>1100000</v>
      </c>
      <c r="I5" s="24">
        <v>500000</v>
      </c>
      <c r="J5" s="24">
        <v>600000</v>
      </c>
      <c r="L5" s="29">
        <v>2021</v>
      </c>
      <c r="M5" s="29">
        <v>400000</v>
      </c>
      <c r="N5" s="29">
        <v>200000</v>
      </c>
    </row>
    <row r="6" spans="1:14" x14ac:dyDescent="0.3">
      <c r="A6" s="27">
        <v>2022</v>
      </c>
      <c r="B6" s="27">
        <v>900000</v>
      </c>
      <c r="C6" s="27">
        <v>500000</v>
      </c>
      <c r="D6" s="27">
        <v>180000</v>
      </c>
      <c r="E6" s="27">
        <v>220000</v>
      </c>
      <c r="G6" s="24">
        <v>2022</v>
      </c>
      <c r="H6" s="24">
        <v>1300000</v>
      </c>
      <c r="I6" s="24">
        <v>600000</v>
      </c>
      <c r="J6" s="24">
        <v>700000</v>
      </c>
      <c r="L6" s="29">
        <v>2022</v>
      </c>
      <c r="M6" s="29">
        <v>450000</v>
      </c>
      <c r="N6" s="29">
        <v>250000</v>
      </c>
    </row>
    <row r="7" spans="1:14" x14ac:dyDescent="0.3">
      <c r="A7" s="27">
        <v>2023</v>
      </c>
      <c r="B7" s="27">
        <v>1100000</v>
      </c>
      <c r="C7" s="27">
        <v>600000</v>
      </c>
      <c r="D7" s="27">
        <v>200000</v>
      </c>
      <c r="E7" s="27">
        <v>300000</v>
      </c>
      <c r="G7" s="24">
        <v>2023</v>
      </c>
      <c r="H7" s="24">
        <v>1500000</v>
      </c>
      <c r="I7" s="24">
        <v>700000</v>
      </c>
      <c r="J7" s="24">
        <v>800000</v>
      </c>
      <c r="L7" s="29">
        <v>2023</v>
      </c>
      <c r="M7" s="29">
        <v>500000</v>
      </c>
      <c r="N7" s="29">
        <v>300000</v>
      </c>
    </row>
    <row r="10" spans="1:14" s="2" customFormat="1" ht="14.4" customHeight="1" x14ac:dyDescent="0.35">
      <c r="A10" s="25" t="s">
        <v>0</v>
      </c>
      <c r="B10" s="25" t="s">
        <v>14</v>
      </c>
      <c r="C10" s="25" t="s">
        <v>15</v>
      </c>
      <c r="D10" s="25" t="s">
        <v>16</v>
      </c>
      <c r="E10" s="25" t="s">
        <v>17</v>
      </c>
    </row>
    <row r="11" spans="1:14" x14ac:dyDescent="0.3">
      <c r="A11" s="27">
        <v>2020</v>
      </c>
      <c r="B11" s="27" cm="1">
        <f t="array" ref="B11:B15">E3:E7/B3:B7</f>
        <v>0.2</v>
      </c>
      <c r="C11" s="31">
        <f>(B4-B3)/B3</f>
        <v>0.2</v>
      </c>
      <c r="D11" s="32">
        <f>(M3/N3)</f>
        <v>2</v>
      </c>
      <c r="E11" s="27">
        <f>I3/J3</f>
        <v>1</v>
      </c>
      <c r="F11" s="1"/>
      <c r="H11" s="1"/>
    </row>
    <row r="12" spans="1:14" x14ac:dyDescent="0.3">
      <c r="A12" s="27">
        <v>2021</v>
      </c>
      <c r="B12" s="30">
        <v>0.21666666666666667</v>
      </c>
      <c r="C12" s="31">
        <f>(B5-B4)/B4</f>
        <v>0.25</v>
      </c>
      <c r="D12" s="33">
        <f>(M4/N4)</f>
        <v>1.9444444444444444</v>
      </c>
      <c r="E12" s="27">
        <f>I4/J4</f>
        <v>1</v>
      </c>
      <c r="F12" s="1"/>
      <c r="H12" s="1"/>
    </row>
    <row r="13" spans="1:14" x14ac:dyDescent="0.3">
      <c r="A13" s="27">
        <v>2022</v>
      </c>
      <c r="B13" s="30">
        <v>0.26666666666666666</v>
      </c>
      <c r="C13" s="31">
        <f>(B6-B5)/B5</f>
        <v>0.2</v>
      </c>
      <c r="D13" s="32">
        <f>(M5/N5)</f>
        <v>2</v>
      </c>
      <c r="E13" s="33">
        <f>I5/J5</f>
        <v>0.83333333333333337</v>
      </c>
      <c r="F13" s="1"/>
      <c r="H13" s="1"/>
    </row>
    <row r="14" spans="1:14" x14ac:dyDescent="0.3">
      <c r="A14" s="27">
        <v>2023</v>
      </c>
      <c r="B14" s="30">
        <v>0.24444444444444444</v>
      </c>
      <c r="C14" s="31">
        <f>(B7-B6)/B6</f>
        <v>0.22222222222222221</v>
      </c>
      <c r="D14" s="27">
        <f>(M6/N6)</f>
        <v>1.8</v>
      </c>
      <c r="E14" s="33">
        <f>I6/J6</f>
        <v>0.8571428571428571</v>
      </c>
      <c r="F14" s="1"/>
      <c r="H14" s="1"/>
    </row>
    <row r="15" spans="1:14" x14ac:dyDescent="0.3">
      <c r="A15" s="27">
        <v>2024</v>
      </c>
      <c r="B15" s="30">
        <v>0.27272727272727271</v>
      </c>
      <c r="C15" s="31">
        <f>(B8-B7)/B7</f>
        <v>-1</v>
      </c>
      <c r="D15" s="33">
        <f>(M7/N7)</f>
        <v>1.6666666666666667</v>
      </c>
      <c r="E15" s="33">
        <f>I7/J7</f>
        <v>0.875</v>
      </c>
      <c r="F15" s="1"/>
      <c r="H15" s="1"/>
    </row>
  </sheetData>
  <mergeCells count="3">
    <mergeCell ref="A1:E1"/>
    <mergeCell ref="G1:J1"/>
    <mergeCell ref="L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B52D-DC2D-4E43-BBA4-BB6BD5416100}">
  <sheetPr codeName="Sheet2"/>
  <dimension ref="A1:L7"/>
  <sheetViews>
    <sheetView zoomScale="78" zoomScaleNormal="154" workbookViewId="0">
      <selection activeCell="K30" sqref="K30"/>
    </sheetView>
  </sheetViews>
  <sheetFormatPr defaultRowHeight="14.4" x14ac:dyDescent="0.3"/>
  <cols>
    <col min="1" max="1" width="9" bestFit="1" customWidth="1"/>
    <col min="2" max="2" width="18.88671875" bestFit="1" customWidth="1"/>
    <col min="3" max="3" width="15.21875" bestFit="1" customWidth="1"/>
    <col min="4" max="4" width="17.21875" bestFit="1" customWidth="1"/>
    <col min="5" max="5" width="6.77734375" bestFit="1" customWidth="1"/>
    <col min="6" max="6" width="21.88671875" bestFit="1" customWidth="1"/>
    <col min="9" max="9" width="13.6640625" bestFit="1" customWidth="1"/>
    <col min="10" max="10" width="12.33203125" bestFit="1" customWidth="1"/>
    <col min="12" max="12" width="47.109375" bestFit="1" customWidth="1"/>
  </cols>
  <sheetData>
    <row r="1" spans="1:12" ht="23.4" x14ac:dyDescent="0.45">
      <c r="A1" s="37" t="s">
        <v>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0.399999999999999" x14ac:dyDescent="0.35">
      <c r="A2" s="5" t="s">
        <v>0</v>
      </c>
      <c r="B2" s="6" t="s">
        <v>18</v>
      </c>
      <c r="C2" s="5" t="str">
        <f>Sheet1!E2</f>
        <v>Net Profit</v>
      </c>
      <c r="D2" s="5" t="str">
        <f>Sheet1!B10</f>
        <v>profit margin</v>
      </c>
      <c r="E2" s="5" t="s">
        <v>0</v>
      </c>
      <c r="F2" s="5" t="str">
        <f>Sheet1!C10</f>
        <v>Revenue Growth</v>
      </c>
      <c r="G2" s="7"/>
      <c r="H2" s="7"/>
      <c r="I2" s="8" t="s">
        <v>18</v>
      </c>
      <c r="J2" s="9">
        <v>1100000</v>
      </c>
      <c r="K2" s="7"/>
      <c r="L2" s="21" t="s">
        <v>21</v>
      </c>
    </row>
    <row r="3" spans="1:12" ht="18" customHeight="1" x14ac:dyDescent="0.35">
      <c r="A3" s="10">
        <v>2019</v>
      </c>
      <c r="B3" s="11">
        <v>500000</v>
      </c>
      <c r="C3" s="12">
        <f>Sheet1!E3</f>
        <v>100000</v>
      </c>
      <c r="D3" s="13">
        <f>Sheet1!B11</f>
        <v>0.2</v>
      </c>
      <c r="E3" s="10">
        <v>2020</v>
      </c>
      <c r="F3" s="14">
        <f>Sheet1!C11</f>
        <v>0.2</v>
      </c>
      <c r="G3" s="7"/>
      <c r="H3" s="7"/>
      <c r="I3" s="15" t="s">
        <v>4</v>
      </c>
      <c r="J3" s="16">
        <v>300000</v>
      </c>
      <c r="K3" s="17"/>
      <c r="L3" s="35" t="s">
        <v>20</v>
      </c>
    </row>
    <row r="4" spans="1:12" ht="18" x14ac:dyDescent="0.35">
      <c r="A4" s="10">
        <v>2020</v>
      </c>
      <c r="B4" s="11">
        <v>600000</v>
      </c>
      <c r="C4" s="12">
        <f>Sheet1!E4</f>
        <v>130000</v>
      </c>
      <c r="D4" s="18">
        <f>Sheet1!B12</f>
        <v>0.21666666666666667</v>
      </c>
      <c r="E4" s="10">
        <v>2021</v>
      </c>
      <c r="F4" s="14">
        <f>Sheet1!C12</f>
        <v>0.25</v>
      </c>
      <c r="G4" s="7"/>
      <c r="H4" s="7"/>
      <c r="I4" s="19" t="s">
        <v>13</v>
      </c>
      <c r="J4" s="20">
        <v>0.27</v>
      </c>
      <c r="K4" s="17"/>
      <c r="L4" s="36"/>
    </row>
    <row r="5" spans="1:12" ht="18" x14ac:dyDescent="0.35">
      <c r="A5" s="10">
        <v>2021</v>
      </c>
      <c r="B5" s="11">
        <v>750000</v>
      </c>
      <c r="C5" s="12">
        <f>Sheet1!E5</f>
        <v>200000</v>
      </c>
      <c r="D5" s="18">
        <f>Sheet1!B13</f>
        <v>0.26666666666666666</v>
      </c>
      <c r="E5" s="10">
        <v>2022</v>
      </c>
      <c r="F5" s="14">
        <f>Sheet1!C13</f>
        <v>0.2</v>
      </c>
      <c r="G5" s="7"/>
      <c r="H5" s="7"/>
      <c r="I5" s="15" t="s">
        <v>19</v>
      </c>
      <c r="J5" s="20">
        <v>0.22</v>
      </c>
      <c r="K5" s="17"/>
      <c r="L5" s="36"/>
    </row>
    <row r="6" spans="1:12" ht="18" x14ac:dyDescent="0.35">
      <c r="A6" s="10">
        <v>2022</v>
      </c>
      <c r="B6" s="11">
        <v>900000</v>
      </c>
      <c r="C6" s="12">
        <f>Sheet1!E6</f>
        <v>220000</v>
      </c>
      <c r="D6" s="18">
        <f>Sheet1!B14</f>
        <v>0.24444444444444444</v>
      </c>
      <c r="E6" s="10">
        <v>2023</v>
      </c>
      <c r="F6" s="14">
        <f>Sheet1!C14</f>
        <v>0.22222222222222221</v>
      </c>
      <c r="G6" s="7"/>
      <c r="H6" s="7"/>
      <c r="I6" s="8" t="s">
        <v>16</v>
      </c>
      <c r="J6" s="22">
        <v>1.67E-2</v>
      </c>
      <c r="K6" s="17"/>
      <c r="L6" s="36"/>
    </row>
    <row r="7" spans="1:12" ht="18" x14ac:dyDescent="0.35">
      <c r="A7" s="10">
        <v>2023</v>
      </c>
      <c r="B7" s="11">
        <v>1100000</v>
      </c>
      <c r="C7" s="12">
        <f>Sheet1!E7</f>
        <v>300000</v>
      </c>
      <c r="D7" s="18">
        <f>Sheet1!B15</f>
        <v>0.27272727272727271</v>
      </c>
      <c r="E7" s="10">
        <v>2024</v>
      </c>
      <c r="F7" s="10"/>
      <c r="G7" s="7"/>
      <c r="H7" s="7"/>
      <c r="I7" s="17"/>
      <c r="J7" s="7"/>
      <c r="K7" s="17"/>
      <c r="L7" s="7"/>
    </row>
  </sheetData>
  <mergeCells count="2">
    <mergeCell ref="L3:L6"/>
    <mergeCell ref="A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Financial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A M</dc:creator>
  <cp:lastModifiedBy>Santhosh A M</cp:lastModifiedBy>
  <dcterms:created xsi:type="dcterms:W3CDTF">2026-04-02T04:20:00Z</dcterms:created>
  <dcterms:modified xsi:type="dcterms:W3CDTF">2026-04-02T12:39:56Z</dcterms:modified>
</cp:coreProperties>
</file>